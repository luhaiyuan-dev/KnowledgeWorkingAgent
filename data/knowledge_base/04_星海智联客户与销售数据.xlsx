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194e5cbe7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清单" sheetId="1" r:id="R6358b8c7ae864727"/>
    <x:sheet xmlns:r="http://schemas.openxmlformats.org/officeDocument/2006/relationships" name="销售订单" sheetId="2" r:id="Rba899706eab145f5"/>
    <x:sheet xmlns:r="http://schemas.openxmlformats.org/officeDocument/2006/relationships" name="产品信息" sheetId="3" r:id="Rcfea4ce4157441e6"/>
    <x:sheet xmlns:r="http://schemas.openxmlformats.org/officeDocument/2006/relationships" name="销售汇总" sheetId="4" r:id="Ra815533fa5d2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da009aa754b63" /><Relationship Type="http://schemas.openxmlformats.org/officeDocument/2006/relationships/theme" Target="/xl/theme/theme1.xml" Id="R717011e0e65c4978" /><Relationship Type="http://schemas.openxmlformats.org/officeDocument/2006/relationships/sharedStrings" Target="/xl/sharedStrings.xml" Id="R82d2e6ed6e4f4d3e" /><Relationship Type="http://schemas.openxmlformats.org/officeDocument/2006/relationships/worksheet" Target="/xl/worksheets/sheet1.xml" Id="R6358b8c7ae864727" /><Relationship Type="http://schemas.openxmlformats.org/officeDocument/2006/relationships/worksheet" Target="/xl/worksheets/sheet2.xml" Id="Rba899706eab145f5" /><Relationship Type="http://schemas.openxmlformats.org/officeDocument/2006/relationships/worksheet" Target="/xl/worksheets/sheet3.xml" Id="Rcfea4ce4157441e6" /><Relationship Type="http://schemas.openxmlformats.org/officeDocument/2006/relationships/worksheet" Target="/xl/worksheets/sheet4.xml" Id="Ra815533fa5d24f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7185cba1e347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2025年各产品合同金额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合同金额(元)</c:v>
          </c:tx>
          <c:cat>
            <c:strRef>
              <c:f>'销售汇总'!$H$2:$H$4</c:f>
              <c:strCache>
                <c:ptCount val="0"/>
              </c:strCache>
            </c:strRef>
          </c:cat>
          <c:val>
            <c:numRef>
              <c:f>'销售汇总'!$I$2:$I$4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7185cba1e347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sTable" displayName="CustomersTable" ref="A1:F16" headerRowCount="1" totalsRowCount="0" totalsRowShown="0">
  <x:tableColumns count="6">
    <x:tableColumn id="1" name="客户ID"/>
    <x:tableColumn id="2" name="客户名称"/>
    <x:tableColumn id="3" name="行业"/>
    <x:tableColumn id="4" name="区域"/>
    <x:tableColumn id="5" name="客户等级"/>
    <x:tableColumn id="6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Table" displayName="SalesTable" ref="A1:K19" headerRowCount="1" totalsRowCount="0" totalsRowShown="0">
  <x:tableColumns count="11">
    <x:tableColumn id="1" name="订单编号"/>
    <x:tableColumn id="2" name="签约日期"/>
    <x:tableColumn id="3" name="客户ID"/>
    <x:tableColumn id="4" name="客户名称"/>
    <x:tableColumn id="5" name="产品"/>
    <x:tableColumn id="6" name="版本"/>
    <x:tableColumn id="7" name="合同金额(元)"/>
    <x:tableColumn id="8" name="已回款(元)"/>
    <x:tableColumn id="9" name="未回款(元)"/>
    <x:tableColumn id="10" name="区域"/>
    <x:tableColumn id="11" name="订单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E9" headerRowCount="1" totalsRowCount="0" totalsRowShown="0">
  <x:tableColumns count="5">
    <x:tableColumn id="1" name="产品"/>
    <x:tableColumn id="2" name="版本"/>
    <x:tableColumn id="3" name="典型适用规模"/>
    <x:tableColumn id="4" name="参考合同区间(元)"/>
    <x:tableColumn id="5" name="主要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f2703543c44a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41dcf1306d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cf3f4261af44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5a19e29feaa493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</x:cols>
  <x:sheetData>
    <x:row r="1">
      <x:c r="A1" s="14" t="str">
        <x:v>客户ID</x:v>
      </x:c>
      <x:c r="B1" s="14" t="str">
        <x:v>客户名称</x:v>
      </x:c>
      <x:c r="C1" s="14" t="str">
        <x:v>行业</x:v>
      </x:c>
      <x:c r="D1" s="14" t="str">
        <x:v>区域</x:v>
      </x:c>
      <x:c r="E1" s="14" t="str">
        <x:v>客户等级</x:v>
      </x:c>
      <x:c r="F1" s="14" t="str">
        <x:v>状态</x:v>
      </x:c>
      <x:c r="G1" s="15"/>
      <x:c r="H1" s="15"/>
      <x:c r="I1" s="15"/>
      <x:c r="J1" s="15"/>
      <x:c r="K1" s="15"/>
    </x:row>
    <x:row r="2">
      <x:c r="A2" s="15" t="str">
        <x:v>C001</x:v>
      </x:c>
      <x:c r="B2" s="15" t="str">
        <x:v>广州启航制造有限公司</x:v>
      </x:c>
      <x:c r="C2" s="15" t="str">
        <x:v>制造</x:v>
      </x:c>
      <x:c r="D2" s="15" t="str">
        <x:v>华南</x:v>
      </x:c>
      <x:c r="E2" s="15" t="str">
        <x:v>A</x:v>
      </x:c>
      <x:c r="F2" s="15" t="str">
        <x:v>合作中</x:v>
      </x:c>
      <x:c r="G2" s="15"/>
      <x:c r="H2" s="15"/>
      <x:c r="I2" s="15"/>
      <x:c r="J2" s="15"/>
      <x:c r="K2" s="15"/>
    </x:row>
    <x:row r="3">
      <x:c r="A3" s="15" t="str">
        <x:v>C002</x:v>
      </x:c>
      <x:c r="B3" s="15" t="str">
        <x:v>深圳云启科技有限公司</x:v>
      </x:c>
      <x:c r="C3" s="15" t="str">
        <x:v>软件服务</x:v>
      </x:c>
      <x:c r="D3" s="15" t="str">
        <x:v>华南</x:v>
      </x:c>
      <x:c r="E3" s="15" t="str">
        <x:v>A</x:v>
      </x:c>
      <x:c r="F3" s="15" t="str">
        <x:v>合作中</x:v>
      </x:c>
      <x:c r="G3" s="15"/>
      <x:c r="H3" s="15"/>
      <x:c r="I3" s="15"/>
      <x:c r="J3" s="15"/>
      <x:c r="K3" s="15"/>
    </x:row>
    <x:row r="4">
      <x:c r="A4" s="15" t="str">
        <x:v>C003</x:v>
      </x:c>
      <x:c r="B4" s="15" t="str">
        <x:v>广东宏远物流集团</x:v>
      </x:c>
      <x:c r="C4" s="15" t="str">
        <x:v>物流</x:v>
      </x:c>
      <x:c r="D4" s="15" t="str">
        <x:v>华南</x:v>
      </x:c>
      <x:c r="E4" s="15" t="str">
        <x:v>A</x:v>
      </x:c>
      <x:c r="F4" s="15" t="str">
        <x:v>合作中</x:v>
      </x:c>
      <x:c r="G4" s="15"/>
      <x:c r="H4" s="15"/>
      <x:c r="I4" s="15"/>
      <x:c r="J4" s="15"/>
      <x:c r="K4" s="15"/>
    </x:row>
    <x:row r="5">
      <x:c r="A5" s="15" t="str">
        <x:v>C004</x:v>
      </x:c>
      <x:c r="B5" s="15" t="str">
        <x:v>上海矩阵零售集团</x:v>
      </x:c>
      <x:c r="C5" s="15" t="str">
        <x:v>零售</x:v>
      </x:c>
      <x:c r="D5" s="15" t="str">
        <x:v>华东</x:v>
      </x:c>
      <x:c r="E5" s="15" t="str">
        <x:v>S</x:v>
      </x:c>
      <x:c r="F5" s="15" t="str">
        <x:v>合作中</x:v>
      </x:c>
      <x:c r="G5" s="15"/>
      <x:c r="H5" s="15"/>
      <x:c r="I5" s="15"/>
      <x:c r="J5" s="15"/>
      <x:c r="K5" s="15"/>
    </x:row>
    <x:row r="6">
      <x:c r="A6" s="15" t="str">
        <x:v>C005</x:v>
      </x:c>
      <x:c r="B6" s="15" t="str">
        <x:v>杭州数源医疗科技</x:v>
      </x:c>
      <x:c r="C6" s="15" t="str">
        <x:v>医疗</x:v>
      </x:c>
      <x:c r="D6" s="15" t="str">
        <x:v>华东</x:v>
      </x:c>
      <x:c r="E6" s="15" t="str">
        <x:v>A</x:v>
      </x:c>
      <x:c r="F6" s="15" t="str">
        <x:v>合作中</x:v>
      </x:c>
      <x:c r="G6" s="15"/>
      <x:c r="H6" s="15"/>
      <x:c r="I6" s="15"/>
      <x:c r="J6" s="15"/>
      <x:c r="K6" s="15"/>
    </x:row>
    <x:row r="7">
      <x:c r="A7" s="15" t="str">
        <x:v>C006</x:v>
      </x:c>
      <x:c r="B7" s="15" t="str">
        <x:v>南京远景装备有限公司</x:v>
      </x:c>
      <x:c r="C7" s="15" t="str">
        <x:v>制造</x:v>
      </x:c>
      <x:c r="D7" s="15" t="str">
        <x:v>华东</x:v>
      </x:c>
      <x:c r="E7" s="15" t="str">
        <x:v>A</x:v>
      </x:c>
      <x:c r="F7" s="15" t="str">
        <x:v>合作中</x:v>
      </x:c>
      <x:c r="G7" s="15"/>
      <x:c r="H7" s="15"/>
      <x:c r="I7" s="15"/>
      <x:c r="J7" s="15"/>
      <x:c r="K7" s="15"/>
    </x:row>
    <x:row r="8">
      <x:c r="A8" s="15" t="str">
        <x:v>C007</x:v>
      </x:c>
      <x:c r="B8" s="15" t="str">
        <x:v>北京博文教育集团</x:v>
      </x:c>
      <x:c r="C8" s="15" t="str">
        <x:v>教育</x:v>
      </x:c>
      <x:c r="D8" s="15" t="str">
        <x:v>华北</x:v>
      </x:c>
      <x:c r="E8" s="15" t="str">
        <x:v>B</x:v>
      </x:c>
      <x:c r="F8" s="15" t="str">
        <x:v>合作中</x:v>
      </x:c>
      <x:c r="G8" s="15"/>
      <x:c r="H8" s="15"/>
      <x:c r="I8" s="15"/>
      <x:c r="J8" s="15"/>
      <x:c r="K8" s="15"/>
    </x:row>
    <x:row r="9">
      <x:c r="A9" s="15" t="str">
        <x:v>C008</x:v>
      </x:c>
      <x:c r="B9" s="15" t="str">
        <x:v>天津海岳能源有限公司</x:v>
      </x:c>
      <x:c r="C9" s="15" t="str">
        <x:v>能源</x:v>
      </x:c>
      <x:c r="D9" s="15" t="str">
        <x:v>华北</x:v>
      </x:c>
      <x:c r="E9" s="15" t="str">
        <x:v>A</x:v>
      </x:c>
      <x:c r="F9" s="15" t="str">
        <x:v>合作中</x:v>
      </x:c>
      <x:c r="G9" s="15"/>
      <x:c r="H9" s="15"/>
      <x:c r="I9" s="15"/>
      <x:c r="J9" s="15"/>
      <x:c r="K9" s="15"/>
    </x:row>
    <x:row r="10">
      <x:c r="A10" s="15" t="str">
        <x:v>C009</x:v>
      </x:c>
      <x:c r="B10" s="15" t="str">
        <x:v>成都新城商业管理</x:v>
      </x:c>
      <x:c r="C10" s="15" t="str">
        <x:v>商业地产</x:v>
      </x:c>
      <x:c r="D10" s="15" t="str">
        <x:v>西南</x:v>
      </x:c>
      <x:c r="E10" s="15" t="str">
        <x:v>A</x:v>
      </x:c>
      <x:c r="F10" s="15" t="str">
        <x:v>合作中</x:v>
      </x:c>
      <x:c r="G10" s="15"/>
      <x:c r="H10" s="15"/>
      <x:c r="I10" s="15"/>
      <x:c r="J10" s="15"/>
      <x:c r="K10" s="15"/>
    </x:row>
    <x:row r="11">
      <x:c r="A11" s="15" t="str">
        <x:v>C010</x:v>
      </x:c>
      <x:c r="B11" s="15" t="str">
        <x:v>重庆智造汽车零部件</x:v>
      </x:c>
      <x:c r="C11" s="15" t="str">
        <x:v>汽车</x:v>
      </x:c>
      <x:c r="D11" s="15" t="str">
        <x:v>西南</x:v>
      </x:c>
      <x:c r="E11" s="15" t="str">
        <x:v>A</x:v>
      </x:c>
      <x:c r="F11" s="15" t="str">
        <x:v>合作中</x:v>
      </x:c>
      <x:c r="G11" s="15"/>
      <x:c r="H11" s="15"/>
      <x:c r="I11" s="15"/>
      <x:c r="J11" s="15"/>
      <x:c r="K11" s="15"/>
    </x:row>
    <x:row r="12">
      <x:c r="A12" s="15" t="str">
        <x:v>C011</x:v>
      </x:c>
      <x:c r="B12" s="15" t="str">
        <x:v>武汉融科金融服务</x:v>
      </x:c>
      <x:c r="C12" s="15" t="str">
        <x:v>金融</x:v>
      </x:c>
      <x:c r="D12" s="15" t="str">
        <x:v>华中</x:v>
      </x:c>
      <x:c r="E12" s="15" t="str">
        <x:v>S</x:v>
      </x:c>
      <x:c r="F12" s="15" t="str">
        <x:v>合作中</x:v>
      </x:c>
      <x:c r="G12" s="15"/>
      <x:c r="H12" s="15"/>
      <x:c r="I12" s="15"/>
      <x:c r="J12" s="15"/>
      <x:c r="K12" s="15"/>
    </x:row>
    <x:row r="13">
      <x:c r="A13" s="15" t="str">
        <x:v>C012</x:v>
      </x:c>
      <x:c r="B13" s="15" t="str">
        <x:v>长沙嘉禾消费品</x:v>
      </x:c>
      <x:c r="C13" s="15" t="str">
        <x:v>快消</x:v>
      </x:c>
      <x:c r="D13" s="15" t="str">
        <x:v>华中</x:v>
      </x:c>
      <x:c r="E13" s="15" t="str">
        <x:v>B</x:v>
      </x:c>
      <x:c r="F13" s="15" t="str">
        <x:v>合作中</x:v>
      </x:c>
      <x:c r="G13" s="15"/>
      <x:c r="H13" s="15"/>
      <x:c r="I13" s="15"/>
      <x:c r="J13" s="15"/>
      <x:c r="K13" s="15"/>
    </x:row>
    <x:row r="14">
      <x:c r="A14" s="15" t="str">
        <x:v>C013</x:v>
      </x:c>
      <x:c r="B14" s="15" t="str">
        <x:v>厦门海辰外贸有限公司</x:v>
      </x:c>
      <x:c r="C14" s="15" t="str">
        <x:v>外贸</x:v>
      </x:c>
      <x:c r="D14" s="15" t="str">
        <x:v>华南</x:v>
      </x:c>
      <x:c r="E14" s="15" t="str">
        <x:v>A</x:v>
      </x:c>
      <x:c r="F14" s="15" t="str">
        <x:v>合作中</x:v>
      </x:c>
      <x:c r="G14" s="15"/>
      <x:c r="H14" s="15"/>
      <x:c r="I14" s="15"/>
      <x:c r="J14" s="15"/>
      <x:c r="K14" s="15"/>
    </x:row>
    <x:row r="15">
      <x:c r="A15" s="15" t="str">
        <x:v>C014</x:v>
      </x:c>
      <x:c r="B15" s="15" t="str">
        <x:v>苏州卓越电子</x:v>
      </x:c>
      <x:c r="C15" s="15" t="str">
        <x:v>电子</x:v>
      </x:c>
      <x:c r="D15" s="15" t="str">
        <x:v>华东</x:v>
      </x:c>
      <x:c r="E15" s="15" t="str">
        <x:v>A</x:v>
      </x:c>
      <x:c r="F15" s="15" t="str">
        <x:v>合作中</x:v>
      </x:c>
      <x:c r="G15" s="15"/>
      <x:c r="H15" s="15"/>
      <x:c r="I15" s="15"/>
      <x:c r="J15" s="15"/>
      <x:c r="K15" s="15"/>
    </x:row>
    <x:row r="16">
      <x:c r="A16" s="15" t="str">
        <x:v>C015</x:v>
      </x:c>
      <x:c r="B16" s="15" t="str">
        <x:v>佛山新材建工</x:v>
      </x:c>
      <x:c r="C16" s="15" t="str">
        <x:v>建材</x:v>
      </x:c>
      <x:c r="D16" s="15" t="str">
        <x:v>华南</x:v>
      </x:c>
      <x:c r="E16" s="15" t="str">
        <x:v>B</x:v>
      </x:c>
      <x:c r="F16" s="15" t="str">
        <x:v>合作中</x:v>
      </x:c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pageMargins left="0.7" right="0.7" top="0.75" bottom="0.75" header="0.3" footer="0.3"/>
  <x:tableParts count="1">
    <x:tablePart xmlns:r="http://schemas.openxmlformats.org/officeDocument/2006/relationships" r:id="R44f2703543c44a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8" hidden="0" customWidth="1"/>
    <x:col min="5" max="5" width="24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  <x:col min="11" max="11" width="12" hidden="0" customWidth="1"/>
  </x:cols>
  <x:sheetData>
    <x:row r="1">
      <x:c r="A1" s="14" t="str">
        <x:v>订单编号</x:v>
      </x:c>
      <x:c r="B1" s="14" t="str">
        <x:v>签约日期</x:v>
      </x:c>
      <x:c r="C1" s="14" t="str">
        <x:v>客户ID</x:v>
      </x:c>
      <x:c r="D1" s="14" t="str">
        <x:v>客户名称</x:v>
      </x:c>
      <x:c r="E1" s="14" t="str">
        <x:v>产品</x:v>
      </x:c>
      <x:c r="F1" s="14" t="str">
        <x:v>版本</x:v>
      </x:c>
      <x:c r="G1" s="14" t="str">
        <x:v>合同金额(元)</x:v>
      </x:c>
      <x:c r="H1" s="14" t="str">
        <x:v>已回款(元)</x:v>
      </x:c>
      <x:c r="I1" s="14" t="str">
        <x:v>未回款(元)</x:v>
      </x:c>
      <x:c r="J1" s="14" t="str">
        <x:v>区域</x:v>
      </x:c>
      <x:c r="K1" s="14" t="str">
        <x:v>订单状态</x:v>
      </x:c>
    </x:row>
    <x:row r="2">
      <x:c r="A2" s="15" t="str">
        <x:v>S25001</x:v>
      </x:c>
      <x:c r="B2" s="18" t="n">
        <x:v>45672</x:v>
      </x:c>
      <x:c r="C2" s="15" t="str">
        <x:v>C001</x:v>
      </x:c>
      <x:c r="D2" s="15" t="str">
        <x:v>广州启航制造有限公司</x:v>
      </x:c>
      <x:c r="E2" s="15" t="str">
        <x:v>XH-Agent Enterprise</x:v>
      </x:c>
      <x:c r="F2" s="15" t="str">
        <x:v>企业版</x:v>
      </x:c>
      <x:c r="G2" s="19" t="n">
        <x:v>480000</x:v>
      </x:c>
      <x:c r="H2" s="19" t="n">
        <x:v>450000</x:v>
      </x:c>
      <x:c r="I2" s="19" t="n">
        <x:f>G2-H2</x:f>
        <x:v>30000</x:v>
      </x:c>
      <x:c r="J2" s="15" t="str">
        <x:v>华南</x:v>
      </x:c>
      <x:c r="K2" s="15" t="str">
        <x:v>执行中</x:v>
      </x:c>
    </x:row>
    <x:row r="3">
      <x:c r="A3" s="15" t="str">
        <x:v>S25002</x:v>
      </x:c>
      <x:c r="B3" s="18" t="n">
        <x:v>45685</x:v>
      </x:c>
      <x:c r="C3" s="15" t="str">
        <x:v>C002</x:v>
      </x:c>
      <x:c r="D3" s="15" t="str">
        <x:v>深圳云启科技有限公司</x:v>
      </x:c>
      <x:c r="E3" s="15" t="str">
        <x:v>XH-Knowledge</x:v>
      </x:c>
      <x:c r="F3" s="15" t="str">
        <x:v>企业版</x:v>
      </x:c>
      <x:c r="G3" s="19" t="n">
        <x:v>220000</x:v>
      </x:c>
      <x:c r="H3" s="19" t="n">
        <x:v>220000</x:v>
      </x:c>
      <x:c r="I3" s="19" t="n">
        <x:f>G3-H3</x:f>
        <x:v>0</x:v>
      </x:c>
      <x:c r="J3" s="15" t="str">
        <x:v>华南</x:v>
      </x:c>
      <x:c r="K3" s="15" t="str">
        <x:v>已完成</x:v>
      </x:c>
    </x:row>
    <x:row r="4">
      <x:c r="A4" s="15" t="str">
        <x:v>S25003</x:v>
      </x:c>
      <x:c r="B4" s="18" t="n">
        <x:v>45700</x:v>
      </x:c>
      <x:c r="C4" s="15" t="str">
        <x:v>C003</x:v>
      </x:c>
      <x:c r="D4" s="15" t="str">
        <x:v>广东宏远物流集团</x:v>
      </x:c>
      <x:c r="E4" s="15" t="str">
        <x:v>XH-DocFlow</x:v>
      </x:c>
      <x:c r="F4" s="15" t="str">
        <x:v>企业版</x:v>
      </x:c>
      <x:c r="G4" s="19" t="n">
        <x:v>360000</x:v>
      </x:c>
      <x:c r="H4" s="19" t="n">
        <x:v>300000</x:v>
      </x:c>
      <x:c r="I4" s="19" t="n">
        <x:f>G4-H4</x:f>
        <x:v>60000</x:v>
      </x:c>
      <x:c r="J4" s="15" t="str">
        <x:v>华南</x:v>
      </x:c>
      <x:c r="K4" s="15" t="str">
        <x:v>执行中</x:v>
      </x:c>
    </x:row>
    <x:row r="5">
      <x:c r="A5" s="15" t="str">
        <x:v>S25004</x:v>
      </x:c>
      <x:c r="B5" s="18" t="n">
        <x:v>45714</x:v>
      </x:c>
      <x:c r="C5" s="15" t="str">
        <x:v>C004</x:v>
      </x:c>
      <x:c r="D5" s="15" t="str">
        <x:v>上海矩阵零售集团</x:v>
      </x:c>
      <x:c r="E5" s="15" t="str">
        <x:v>XH-Agent Enterprise</x:v>
      </x:c>
      <x:c r="F5" s="15" t="str">
        <x:v>旗舰版</x:v>
      </x:c>
      <x:c r="G5" s="19" t="n">
        <x:v>880000</x:v>
      </x:c>
      <x:c r="H5" s="19" t="n">
        <x:v>880000</x:v>
      </x:c>
      <x:c r="I5" s="19" t="n">
        <x:f>G5-H5</x:f>
        <x:v>0</x:v>
      </x:c>
      <x:c r="J5" s="15" t="str">
        <x:v>华东</x:v>
      </x:c>
      <x:c r="K5" s="15" t="str">
        <x:v>已完成</x:v>
      </x:c>
    </x:row>
    <x:row r="6">
      <x:c r="A6" s="15" t="str">
        <x:v>S25005</x:v>
      </x:c>
      <x:c r="B6" s="18" t="n">
        <x:v>45734</x:v>
      </x:c>
      <x:c r="C6" s="15" t="str">
        <x:v>C005</x:v>
      </x:c>
      <x:c r="D6" s="15" t="str">
        <x:v>杭州数源医疗科技</x:v>
      </x:c>
      <x:c r="E6" s="15" t="str">
        <x:v>XH-Knowledge</x:v>
      </x:c>
      <x:c r="F6" s="15" t="str">
        <x:v>企业版</x:v>
      </x:c>
      <x:c r="G6" s="19" t="n">
        <x:v>260000</x:v>
      </x:c>
      <x:c r="H6" s="19" t="n">
        <x:v>260000</x:v>
      </x:c>
      <x:c r="I6" s="19" t="n">
        <x:f>G6-H6</x:f>
        <x:v>0</x:v>
      </x:c>
      <x:c r="J6" s="15" t="str">
        <x:v>华东</x:v>
      </x:c>
      <x:c r="K6" s="15" t="str">
        <x:v>已完成</x:v>
      </x:c>
    </x:row>
    <x:row r="7">
      <x:c r="A7" s="15" t="str">
        <x:v>S25006</x:v>
      </x:c>
      <x:c r="B7" s="18" t="n">
        <x:v>45756</x:v>
      </x:c>
      <x:c r="C7" s="15" t="str">
        <x:v>C006</x:v>
      </x:c>
      <x:c r="D7" s="15" t="str">
        <x:v>南京远景装备有限公司</x:v>
      </x:c>
      <x:c r="E7" s="15" t="str">
        <x:v>XH-DocFlow</x:v>
      </x:c>
      <x:c r="F7" s="15" t="str">
        <x:v>旗舰版</x:v>
      </x:c>
      <x:c r="G7" s="19" t="n">
        <x:v>720000</x:v>
      </x:c>
      <x:c r="H7" s="19" t="n">
        <x:v>650000</x:v>
      </x:c>
      <x:c r="I7" s="19" t="n">
        <x:f>G7-H7</x:f>
        <x:v>70000</x:v>
      </x:c>
      <x:c r="J7" s="15" t="str">
        <x:v>华东</x:v>
      </x:c>
      <x:c r="K7" s="15" t="str">
        <x:v>执行中</x:v>
      </x:c>
    </x:row>
    <x:row r="8">
      <x:c r="A8" s="15" t="str">
        <x:v>S25007</x:v>
      </x:c>
      <x:c r="B8" s="18" t="n">
        <x:v>45770</x:v>
      </x:c>
      <x:c r="C8" s="15" t="str">
        <x:v>C007</x:v>
      </x:c>
      <x:c r="D8" s="15" t="str">
        <x:v>北京博文教育集团</x:v>
      </x:c>
      <x:c r="E8" s="15" t="str">
        <x:v>XH-Knowledge</x:v>
      </x:c>
      <x:c r="F8" s="15" t="str">
        <x:v>团队版</x:v>
      </x:c>
      <x:c r="G8" s="19" t="n">
        <x:v>120000</x:v>
      </x:c>
      <x:c r="H8" s="19" t="n">
        <x:v>120000</x:v>
      </x:c>
      <x:c r="I8" s="19" t="n">
        <x:f>G8-H8</x:f>
        <x:v>0</x:v>
      </x:c>
      <x:c r="J8" s="15" t="str">
        <x:v>华北</x:v>
      </x:c>
      <x:c r="K8" s="15" t="str">
        <x:v>已完成</x:v>
      </x:c>
    </x:row>
    <x:row r="9">
      <x:c r="A9" s="15" t="str">
        <x:v>S25008</x:v>
      </x:c>
      <x:c r="B9" s="18" t="n">
        <x:v>45793</x:v>
      </x:c>
      <x:c r="C9" s="15" t="str">
        <x:v>C008</x:v>
      </x:c>
      <x:c r="D9" s="15" t="str">
        <x:v>天津海岳能源有限公司</x:v>
      </x:c>
      <x:c r="E9" s="15" t="str">
        <x:v>XH-Agent Enterprise</x:v>
      </x:c>
      <x:c r="F9" s="15" t="str">
        <x:v>企业版</x:v>
      </x:c>
      <x:c r="G9" s="19" t="n">
        <x:v>520000</x:v>
      </x:c>
      <x:c r="H9" s="19" t="n">
        <x:v>400000</x:v>
      </x:c>
      <x:c r="I9" s="19" t="n">
        <x:f>G9-H9</x:f>
        <x:v>120000</x:v>
      </x:c>
      <x:c r="J9" s="15" t="str">
        <x:v>华北</x:v>
      </x:c>
      <x:c r="K9" s="15" t="str">
        <x:v>执行中</x:v>
      </x:c>
    </x:row>
    <x:row r="10">
      <x:c r="A10" s="15" t="str">
        <x:v>S25009</x:v>
      </x:c>
      <x:c r="B10" s="18" t="n">
        <x:v>45813</x:v>
      </x:c>
      <x:c r="C10" s="15" t="str">
        <x:v>C009</x:v>
      </x:c>
      <x:c r="D10" s="15" t="str">
        <x:v>成都新城商业管理</x:v>
      </x:c>
      <x:c r="E10" s="15" t="str">
        <x:v>XH-Agent Enterprise</x:v>
      </x:c>
      <x:c r="F10" s="15" t="str">
        <x:v>企业版</x:v>
      </x:c>
      <x:c r="G10" s="19" t="n">
        <x:v>460000</x:v>
      </x:c>
      <x:c r="H10" s="19" t="n">
        <x:v>460000</x:v>
      </x:c>
      <x:c r="I10" s="19" t="n">
        <x:f>G10-H10</x:f>
        <x:v>0</x:v>
      </x:c>
      <x:c r="J10" s="15" t="str">
        <x:v>西南</x:v>
      </x:c>
      <x:c r="K10" s="15" t="str">
        <x:v>已完成</x:v>
      </x:c>
    </x:row>
    <x:row r="11">
      <x:c r="A11" s="15" t="str">
        <x:v>S25010</x:v>
      </x:c>
      <x:c r="B11" s="18" t="n">
        <x:v>45834</x:v>
      </x:c>
      <x:c r="C11" s="15" t="str">
        <x:v>C010</x:v>
      </x:c>
      <x:c r="D11" s="15" t="str">
        <x:v>重庆智造汽车零部件</x:v>
      </x:c>
      <x:c r="E11" s="15" t="str">
        <x:v>XH-DocFlow</x:v>
      </x:c>
      <x:c r="F11" s="15" t="str">
        <x:v>企业版</x:v>
      </x:c>
      <x:c r="G11" s="19" t="n">
        <x:v>390000</x:v>
      </x:c>
      <x:c r="H11" s="19" t="n">
        <x:v>300000</x:v>
      </x:c>
      <x:c r="I11" s="19" t="n">
        <x:f>G11-H11</x:f>
        <x:v>90000</x:v>
      </x:c>
      <x:c r="J11" s="15" t="str">
        <x:v>西南</x:v>
      </x:c>
      <x:c r="K11" s="15" t="str">
        <x:v>执行中</x:v>
      </x:c>
    </x:row>
    <x:row r="12">
      <x:c r="A12" s="15" t="str">
        <x:v>S25011</x:v>
      </x:c>
      <x:c r="B12" s="18" t="n">
        <x:v>45849</x:v>
      </x:c>
      <x:c r="C12" s="15" t="str">
        <x:v>C011</x:v>
      </x:c>
      <x:c r="D12" s="15" t="str">
        <x:v>武汉融科金融服务</x:v>
      </x:c>
      <x:c r="E12" s="15" t="str">
        <x:v>XH-Agent Enterprise</x:v>
      </x:c>
      <x:c r="F12" s="15" t="str">
        <x:v>旗舰版</x:v>
      </x:c>
      <x:c r="G12" s="19" t="n">
        <x:v>960000</x:v>
      </x:c>
      <x:c r="H12" s="19" t="n">
        <x:v>900000</x:v>
      </x:c>
      <x:c r="I12" s="19" t="n">
        <x:f>G12-H12</x:f>
        <x:v>60000</x:v>
      </x:c>
      <x:c r="J12" s="15" t="str">
        <x:v>华中</x:v>
      </x:c>
      <x:c r="K12" s="15" t="str">
        <x:v>执行中</x:v>
      </x:c>
    </x:row>
    <x:row r="13">
      <x:c r="A13" s="15" t="str">
        <x:v>S25012</x:v>
      </x:c>
      <x:c r="B13" s="18" t="n">
        <x:v>45867</x:v>
      </x:c>
      <x:c r="C13" s="15" t="str">
        <x:v>C012</x:v>
      </x:c>
      <x:c r="D13" s="15" t="str">
        <x:v>长沙嘉禾消费品</x:v>
      </x:c>
      <x:c r="E13" s="15" t="str">
        <x:v>XH-Knowledge</x:v>
      </x:c>
      <x:c r="F13" s="15" t="str">
        <x:v>企业版</x:v>
      </x:c>
      <x:c r="G13" s="19" t="n">
        <x:v>240000</x:v>
      </x:c>
      <x:c r="H13" s="19" t="n">
        <x:v>240000</x:v>
      </x:c>
      <x:c r="I13" s="19" t="n">
        <x:f>G13-H13</x:f>
        <x:v>0</x:v>
      </x:c>
      <x:c r="J13" s="15" t="str">
        <x:v>华中</x:v>
      </x:c>
      <x:c r="K13" s="15" t="str">
        <x:v>已完成</x:v>
      </x:c>
    </x:row>
    <x:row r="14">
      <x:c r="A14" s="15" t="str">
        <x:v>S25013</x:v>
      </x:c>
      <x:c r="B14" s="18" t="n">
        <x:v>45883</x:v>
      </x:c>
      <x:c r="C14" s="15" t="str">
        <x:v>C013</x:v>
      </x:c>
      <x:c r="D14" s="15" t="str">
        <x:v>厦门海辰外贸有限公司</x:v>
      </x:c>
      <x:c r="E14" s="15" t="str">
        <x:v>XH-Agent Enterprise</x:v>
      </x:c>
      <x:c r="F14" s="15" t="str">
        <x:v>企业版</x:v>
      </x:c>
      <x:c r="G14" s="19" t="n">
        <x:v>510000</x:v>
      </x:c>
      <x:c r="H14" s="19" t="n">
        <x:v>510000</x:v>
      </x:c>
      <x:c r="I14" s="19" t="n">
        <x:f>G14-H14</x:f>
        <x:v>0</x:v>
      </x:c>
      <x:c r="J14" s="15" t="str">
        <x:v>华南</x:v>
      </x:c>
      <x:c r="K14" s="15" t="str">
        <x:v>已完成</x:v>
      </x:c>
    </x:row>
    <x:row r="15">
      <x:c r="A15" s="15" t="str">
        <x:v>S25014</x:v>
      </x:c>
      <x:c r="B15" s="18" t="n">
        <x:v>45903</x:v>
      </x:c>
      <x:c r="C15" s="15" t="str">
        <x:v>C014</x:v>
      </x:c>
      <x:c r="D15" s="15" t="str">
        <x:v>苏州卓越电子</x:v>
      </x:c>
      <x:c r="E15" s="15" t="str">
        <x:v>XH-DocFlow</x:v>
      </x:c>
      <x:c r="F15" s="15" t="str">
        <x:v>企业版</x:v>
      </x:c>
      <x:c r="G15" s="19" t="n">
        <x:v>410000</x:v>
      </x:c>
      <x:c r="H15" s="19" t="n">
        <x:v>360000</x:v>
      </x:c>
      <x:c r="I15" s="19" t="n">
        <x:f>G15-H15</x:f>
        <x:v>50000</x:v>
      </x:c>
      <x:c r="J15" s="15" t="str">
        <x:v>华东</x:v>
      </x:c>
      <x:c r="K15" s="15" t="str">
        <x:v>执行中</x:v>
      </x:c>
    </x:row>
    <x:row r="16">
      <x:c r="A16" s="15" t="str">
        <x:v>S25015</x:v>
      </x:c>
      <x:c r="B16" s="18" t="n">
        <x:v>45925</x:v>
      </x:c>
      <x:c r="C16" s="15" t="str">
        <x:v>C015</x:v>
      </x:c>
      <x:c r="D16" s="15" t="str">
        <x:v>佛山新材建工</x:v>
      </x:c>
      <x:c r="E16" s="15" t="str">
        <x:v>XH-Knowledge</x:v>
      </x:c>
      <x:c r="F16" s="15" t="str">
        <x:v>企业版</x:v>
      </x:c>
      <x:c r="G16" s="19" t="n">
        <x:v>230000</x:v>
      </x:c>
      <x:c r="H16" s="19" t="n">
        <x:v>200000</x:v>
      </x:c>
      <x:c r="I16" s="19" t="n">
        <x:f>G16-H16</x:f>
        <x:v>30000</x:v>
      </x:c>
      <x:c r="J16" s="15" t="str">
        <x:v>华南</x:v>
      </x:c>
      <x:c r="K16" s="15" t="str">
        <x:v>执行中</x:v>
      </x:c>
    </x:row>
    <x:row r="17">
      <x:c r="A17" s="15" t="str">
        <x:v>S25016</x:v>
      </x:c>
      <x:c r="B17" s="18" t="n">
        <x:v>45947</x:v>
      </x:c>
      <x:c r="C17" s="15" t="str">
        <x:v>C001</x:v>
      </x:c>
      <x:c r="D17" s="15" t="str">
        <x:v>广州启航制造有限公司</x:v>
      </x:c>
      <x:c r="E17" s="15" t="str">
        <x:v>XH-DocFlow</x:v>
      </x:c>
      <x:c r="F17" s="15" t="str">
        <x:v>团队版</x:v>
      </x:c>
      <x:c r="G17" s="19" t="n">
        <x:v>160000</x:v>
      </x:c>
      <x:c r="H17" s="19" t="n">
        <x:v>160000</x:v>
      </x:c>
      <x:c r="I17" s="19" t="n">
        <x:f>G17-H17</x:f>
        <x:v>0</x:v>
      </x:c>
      <x:c r="J17" s="15" t="str">
        <x:v>华南</x:v>
      </x:c>
      <x:c r="K17" s="15" t="str">
        <x:v>已完成</x:v>
      </x:c>
    </x:row>
    <x:row r="18">
      <x:c r="A18" s="15" t="str">
        <x:v>S25017</x:v>
      </x:c>
      <x:c r="B18" s="18" t="n">
        <x:v>45967</x:v>
      </x:c>
      <x:c r="C18" s="15" t="str">
        <x:v>C003</x:v>
      </x:c>
      <x:c r="D18" s="15" t="str">
        <x:v>广东宏远物流集团</x:v>
      </x:c>
      <x:c r="E18" s="15" t="str">
        <x:v>XH-Knowledge</x:v>
      </x:c>
      <x:c r="F18" s="15" t="str">
        <x:v>企业版</x:v>
      </x:c>
      <x:c r="G18" s="19" t="n">
        <x:v>250000</x:v>
      </x:c>
      <x:c r="H18" s="19" t="n">
        <x:v>250000</x:v>
      </x:c>
      <x:c r="I18" s="19" t="n">
        <x:f>G18-H18</x:f>
        <x:v>0</x:v>
      </x:c>
      <x:c r="J18" s="15" t="str">
        <x:v>华南</x:v>
      </x:c>
      <x:c r="K18" s="15" t="str">
        <x:v>已完成</x:v>
      </x:c>
    </x:row>
    <x:row r="19">
      <x:c r="A19" s="15" t="str">
        <x:v>S25018</x:v>
      </x:c>
      <x:c r="B19" s="18" t="n">
        <x:v>45993</x:v>
      </x:c>
      <x:c r="C19" s="15" t="str">
        <x:v>C002</x:v>
      </x:c>
      <x:c r="D19" s="15" t="str">
        <x:v>深圳云启科技有限公司</x:v>
      </x:c>
      <x:c r="E19" s="15" t="str">
        <x:v>XH-Agent Enterprise</x:v>
      </x:c>
      <x:c r="F19" s="15" t="str">
        <x:v>团队版</x:v>
      </x:c>
      <x:c r="G19" s="19" t="n">
        <x:v>180000</x:v>
      </x:c>
      <x:c r="H19" s="19" t="n">
        <x:v>180000</x:v>
      </x:c>
      <x:c r="I19" s="19" t="n">
        <x:f>G19-H19</x:f>
        <x:v>0</x:v>
      </x:c>
      <x:c r="J19" s="15" t="str">
        <x:v>华南</x:v>
      </x:c>
      <x:c r="K19" s="15" t="str">
        <x:v>已完成</x:v>
      </x:c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pageMargins left="0.7" right="0.7" top="0.75" bottom="0.75" header="0.3" footer="0.3"/>
  <x:tableParts count="1">
    <x:tablePart xmlns:r="http://schemas.openxmlformats.org/officeDocument/2006/relationships" r:id="R7b41dcf1306d47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22" hidden="0" customWidth="1"/>
    <x:col min="5" max="5" width="36" hidden="0" customWidth="1"/>
  </x:cols>
  <x:sheetData>
    <x:row r="1">
      <x:c r="A1" s="14" t="str">
        <x:v>产品</x:v>
      </x:c>
      <x:c r="B1" s="14" t="str">
        <x:v>版本</x:v>
      </x:c>
      <x:c r="C1" s="14" t="str">
        <x:v>典型适用规模</x:v>
      </x:c>
      <x:c r="D1" s="14" t="str">
        <x:v>参考合同区间(元)</x:v>
      </x:c>
      <x:c r="E1" s="14" t="str">
        <x:v>主要用途</x:v>
      </x:c>
      <x:c r="F1" s="15"/>
      <x:c r="G1" s="15"/>
      <x:c r="H1" s="15"/>
      <x:c r="I1" s="15"/>
      <x:c r="J1" s="15"/>
      <x:c r="K1" s="15"/>
    </x:row>
    <x:row r="2">
      <x:c r="A2" s="15" t="str">
        <x:v>XH-Agent Enterprise</x:v>
      </x:c>
      <x:c r="B2" s="15" t="str">
        <x:v>团队版</x:v>
      </x:c>
      <x:c r="C2" s="15" t="str">
        <x:v>20-100人</x:v>
      </x:c>
      <x:c r="D2" s="15" t="str">
        <x:v>150,000-250,000</x:v>
      </x:c>
      <x:c r="E2" s="15" t="str">
        <x:v>基础企业智能助手与工具调用</x:v>
      </x:c>
      <x:c r="F2" s="15"/>
      <x:c r="G2" s="15"/>
      <x:c r="H2" s="15"/>
      <x:c r="I2" s="15"/>
      <x:c r="J2" s="15"/>
      <x:c r="K2" s="15"/>
    </x:row>
    <x:row r="3">
      <x:c r="A3" s="15" t="str">
        <x:v>XH-Agent Enterprise</x:v>
      </x:c>
      <x:c r="B3" s="15" t="str">
        <x:v>企业版</x:v>
      </x:c>
      <x:c r="C3" s="15" t="str">
        <x:v>100-1000人</x:v>
      </x:c>
      <x:c r="D3" s="15" t="str">
        <x:v>400,000-650,000</x:v>
      </x:c>
      <x:c r="E3" s="15" t="str">
        <x:v>权限、审计、企业工具集成</x:v>
      </x:c>
      <x:c r="F3" s="15"/>
      <x:c r="G3" s="15"/>
      <x:c r="H3" s="15"/>
      <x:c r="I3" s="15"/>
      <x:c r="J3" s="15"/>
      <x:c r="K3" s="15"/>
    </x:row>
    <x:row r="4">
      <x:c r="A4" s="15" t="str">
        <x:v>XH-Agent Enterprise</x:v>
      </x:c>
      <x:c r="B4" s="15" t="str">
        <x:v>旗舰版</x:v>
      </x:c>
      <x:c r="C4" s="15" t="str">
        <x:v>1000人以上</x:v>
      </x:c>
      <x:c r="D4" s="15" t="str">
        <x:v>800,000-1,200,000</x:v>
      </x:c>
      <x:c r="E4" s="15" t="str">
        <x:v>复杂工作流、高级权限、专属支持</x:v>
      </x:c>
      <x:c r="F4" s="15"/>
      <x:c r="G4" s="15"/>
      <x:c r="H4" s="15"/>
      <x:c r="I4" s="15"/>
      <x:c r="J4" s="15"/>
      <x:c r="K4" s="15"/>
    </x:row>
    <x:row r="5">
      <x:c r="A5" s="15" t="str">
        <x:v>XH-Knowledge</x:v>
      </x:c>
      <x:c r="B5" s="15" t="str">
        <x:v>团队版</x:v>
      </x:c>
      <x:c r="C5" s="15" t="str">
        <x:v>20-100人</x:v>
      </x:c>
      <x:c r="D5" s="15" t="str">
        <x:v>80,000-150,000</x:v>
      </x:c>
      <x:c r="E5" s="15" t="str">
        <x:v>小型团队知识库</x:v>
      </x:c>
      <x:c r="F5" s="15"/>
      <x:c r="G5" s="15"/>
      <x:c r="H5" s="15"/>
      <x:c r="I5" s="15"/>
      <x:c r="J5" s="15"/>
      <x:c r="K5" s="15"/>
    </x:row>
    <x:row r="6">
      <x:c r="A6" s="15" t="str">
        <x:v>XH-Knowledge</x:v>
      </x:c>
      <x:c r="B6" s="15" t="str">
        <x:v>企业版</x:v>
      </x:c>
      <x:c r="C6" s="15" t="str">
        <x:v>100人以上</x:v>
      </x:c>
      <x:c r="D6" s="15" t="str">
        <x:v>200,000-350,000</x:v>
      </x:c>
      <x:c r="E6" s="15" t="str">
        <x:v>企业知识库、RAG、权限隔离</x:v>
      </x:c>
      <x:c r="F6" s="15"/>
      <x:c r="G6" s="15"/>
      <x:c r="H6" s="15"/>
      <x:c r="I6" s="15"/>
      <x:c r="J6" s="15"/>
      <x:c r="K6" s="15"/>
    </x:row>
    <x:row r="7">
      <x:c r="A7" s="15" t="str">
        <x:v>XH-DocFlow</x:v>
      </x:c>
      <x:c r="B7" s="15" t="str">
        <x:v>团队版</x:v>
      </x:c>
      <x:c r="C7" s="15" t="str">
        <x:v>20-100人</x:v>
      </x:c>
      <x:c r="D7" s="15" t="str">
        <x:v>120,000-220,000</x:v>
      </x:c>
      <x:c r="E7" s="15" t="str">
        <x:v>基础文档解析与抽取</x:v>
      </x:c>
      <x:c r="F7" s="15"/>
      <x:c r="G7" s="15"/>
      <x:c r="H7" s="15"/>
      <x:c r="I7" s="15"/>
      <x:c r="J7" s="15"/>
      <x:c r="K7" s="15"/>
    </x:row>
    <x:row r="8">
      <x:c r="A8" s="15" t="str">
        <x:v>XH-DocFlow</x:v>
      </x:c>
      <x:c r="B8" s="15" t="str">
        <x:v>企业版</x:v>
      </x:c>
      <x:c r="C8" s="15" t="str">
        <x:v>100人以上</x:v>
      </x:c>
      <x:c r="D8" s="15" t="str">
        <x:v>300,000-500,000</x:v>
      </x:c>
      <x:c r="E8" s="15" t="str">
        <x:v>合同、票据、表格等文档处理</x:v>
      </x:c>
      <x:c r="F8" s="15"/>
      <x:c r="G8" s="15"/>
      <x:c r="H8" s="15"/>
      <x:c r="I8" s="15"/>
      <x:c r="J8" s="15"/>
      <x:c r="K8" s="15"/>
    </x:row>
    <x:row r="9">
      <x:c r="A9" s="15" t="str">
        <x:v>XH-DocFlow</x:v>
      </x:c>
      <x:c r="B9" s="15" t="str">
        <x:v>旗舰版</x:v>
      </x:c>
      <x:c r="C9" s="15" t="str">
        <x:v>大型企业</x:v>
      </x:c>
      <x:c r="D9" s="15" t="str">
        <x:v>650,000-900,000</x:v>
      </x:c>
      <x:c r="E9" s="15" t="str">
        <x:v>大规模文档处理与企业集成</x:v>
      </x:c>
      <x:c r="F9" s="15"/>
      <x:c r="G9" s="15"/>
      <x:c r="H9" s="15"/>
      <x:c r="I9" s="15"/>
      <x:c r="J9" s="15"/>
      <x:c r="K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pageMargins left="0.7" right="0.7" top="0.75" bottom="0.75" header="0.3" footer="0.3"/>
  <x:tableParts count="1">
    <x:tablePart xmlns:r="http://schemas.openxmlformats.org/officeDocument/2006/relationships" r:id="R3bcf3f4261af44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4" max="4" width="12" hidden="0" customWidth="1"/>
    <x:col min="5" max="5" width="18" hidden="0" customWidth="1"/>
    <x:col min="6" max="6" width="18" hidden="0" customWidth="1"/>
    <x:col min="8" max="8" width="24" hidden="0" customWidth="1"/>
    <x:col min="9" max="9" width="18" hidden="0" customWidth="1"/>
  </x:cols>
  <x:sheetData>
    <x:row r="1">
      <x:c r="A1" s="14" t="str">
        <x:v>指标</x:v>
      </x:c>
      <x:c r="B1" s="14" t="str">
        <x:v>数值</x:v>
      </x:c>
      <x:c r="C1" s="15"/>
      <x:c r="D1" s="14" t="str">
        <x:v>区域</x:v>
      </x:c>
      <x:c r="E1" s="14" t="str">
        <x:v>合同金额(元)</x:v>
      </x:c>
      <x:c r="F1" s="14" t="str">
        <x:v>已回款(元)</x:v>
      </x:c>
      <x:c r="G1" s="15"/>
      <x:c r="H1" s="14" t="str">
        <x:v>产品</x:v>
      </x:c>
      <x:c r="I1" s="14" t="str">
        <x:v>合同金额(元)</x:v>
      </x:c>
      <x:c r="J1" s="15"/>
      <x:c r="K1" s="15"/>
    </x:row>
    <x:row r="2">
      <x:c r="A2" s="15" t="str">
        <x:v>2025年合同总额</x:v>
      </x:c>
      <x:c r="B2" s="15" t="n">
        <x:f>SUM('销售订单'!G2:G19)</x:f>
        <x:v>7350000</x:v>
      </x:c>
      <x:c r="C2" s="15"/>
      <x:c r="D2" s="15" t="str">
        <x:v>华南</x:v>
      </x:c>
      <x:c r="E2" s="15" t="n">
        <x:f>SUMIF('销售订单'!J2:J19,D2,'销售订单'!G2:G19)</x:f>
        <x:v>2390000</x:v>
      </x:c>
      <x:c r="F2" s="15" t="n">
        <x:f>SUMIF('销售订单'!J2:J19,D2,'销售订单'!H2:H19)</x:f>
        <x:v>2270000</x:v>
      </x:c>
      <x:c r="G2" s="15"/>
      <x:c r="H2" s="15" t="str">
        <x:v>XH-Agent Enterprise</x:v>
      </x:c>
      <x:c r="I2" s="15" t="n">
        <x:f>SUMIF('销售订单'!E2:E19,H2,'销售订单'!G2:G19)</x:f>
        <x:v>3990000</x:v>
      </x:c>
      <x:c r="J2" s="15"/>
      <x:c r="K2" s="15"/>
    </x:row>
    <x:row r="3">
      <x:c r="A3" s="15" t="str">
        <x:v>2025年已回款总额</x:v>
      </x:c>
      <x:c r="B3" s="15" t="n">
        <x:f>SUM('销售订单'!H2:H19)</x:f>
        <x:v>6840000</x:v>
      </x:c>
      <x:c r="C3" s="15"/>
      <x:c r="D3" s="15" t="str">
        <x:v>华东</x:v>
      </x:c>
      <x:c r="E3" s="15" t="n">
        <x:f>SUMIF('销售订单'!J2:J19,D3,'销售订单'!G2:G19)</x:f>
        <x:v>2270000</x:v>
      </x:c>
      <x:c r="F3" s="15" t="n">
        <x:f>SUMIF('销售订单'!J2:J19,D3,'销售订单'!H2:H19)</x:f>
        <x:v>2150000</x:v>
      </x:c>
      <x:c r="G3" s="15"/>
      <x:c r="H3" s="15" t="str">
        <x:v>XH-Knowledge</x:v>
      </x:c>
      <x:c r="I3" s="15" t="n">
        <x:f>SUMIF('销售订单'!E2:E19,H3,'销售订单'!G2:G19)</x:f>
        <x:v>1320000</x:v>
      </x:c>
      <x:c r="J3" s="15"/>
      <x:c r="K3" s="15"/>
    </x:row>
    <x:row r="4">
      <x:c r="A4" s="15" t="str">
        <x:v>2025年未回款总额</x:v>
      </x:c>
      <x:c r="B4" s="15" t="n">
        <x:f>SUM('销售订单'!I2:I19)</x:f>
        <x:v>510000</x:v>
      </x:c>
      <x:c r="C4" s="15"/>
      <x:c r="D4" s="15" t="str">
        <x:v>华北</x:v>
      </x:c>
      <x:c r="E4" s="15" t="n">
        <x:f>SUMIF('销售订单'!J2:J19,D4,'销售订单'!G2:G19)</x:f>
        <x:v>640000</x:v>
      </x:c>
      <x:c r="F4" s="15" t="n">
        <x:f>SUMIF('销售订单'!J2:J19,D4,'销售订单'!H2:H19)</x:f>
        <x:v>520000</x:v>
      </x:c>
      <x:c r="G4" s="15"/>
      <x:c r="H4" s="15" t="str">
        <x:v>XH-DocFlow</x:v>
      </x:c>
      <x:c r="I4" s="15" t="n">
        <x:f>SUMIF('销售订单'!E2:E19,H4,'销售订单'!G2:G19)</x:f>
        <x:v>2040000</x:v>
      </x:c>
      <x:c r="J4" s="15"/>
      <x:c r="K4" s="15"/>
    </x:row>
    <x:row r="5">
      <x:c r="A5" s="15" t="str">
        <x:v>订单数量</x:v>
      </x:c>
      <x:c r="B5" s="15" t="n">
        <x:f>COUNTA('销售订单'!A2:A19)</x:f>
        <x:v>18</x:v>
      </x:c>
      <x:c r="C5" s="15"/>
      <x:c r="D5" s="15" t="str">
        <x:v>西南</x:v>
      </x:c>
      <x:c r="E5" s="15" t="n">
        <x:f>SUMIF('销售订单'!J2:J19,D5,'销售订单'!G2:G19)</x:f>
        <x:v>850000</x:v>
      </x:c>
      <x:c r="F5" s="15" t="n">
        <x:f>SUMIF('销售订单'!J2:J19,D5,'销售订单'!H2:H19)</x:f>
        <x:v>760000</x:v>
      </x:c>
      <x:c r="G5" s="15"/>
      <x:c r="H5" s="15"/>
      <x:c r="I5" s="15"/>
      <x:c r="J5" s="15"/>
      <x:c r="K5" s="15"/>
    </x:row>
    <x:row r="6">
      <x:c r="A6" s="15"/>
      <x:c r="B6" s="15"/>
      <x:c r="C6" s="15"/>
      <x:c r="D6" s="15" t="str">
        <x:v>华中</x:v>
      </x:c>
      <x:c r="E6" s="15" t="n">
        <x:f>SUMIF('销售订单'!J2:J19,D6,'销售订单'!G2:G19)</x:f>
        <x:v>1200000</x:v>
      </x:c>
      <x:c r="F6" s="15" t="n">
        <x:f>SUMIF('销售订单'!J2:J19,D6,'销售订单'!H2:H19)</x:f>
        <x:v>1140000</x:v>
      </x:c>
      <x:c r="G6" s="15"/>
      <x:c r="H6" s="15"/>
      <x:c r="I6" s="15"/>
      <x:c r="J6" s="15"/>
      <x:c r="K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pageMargins left="0.7" right="0.7" top="0.75" bottom="0.75" header="0.3" footer="0.3"/>
  <x:drawing xmlns:r="http://schemas.openxmlformats.org/officeDocument/2006/relationships" r:id="R15a19e29feaa493a"/>
</x:worksheet>
</file>